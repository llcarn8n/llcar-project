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arScanner\final\"/>
    </mc:Choice>
  </mc:AlternateContent>
  <bookViews>
    <workbookView xWindow="0" yWindow="0" windowWidth="19200" windowHeight="6936" activeTab="1"/>
  </bookViews>
  <sheets>
    <sheet name="План задач" sheetId="1" r:id="rId1"/>
    <sheet name="План по задачам№" sheetId="3" r:id="rId2"/>
    <sheet name="Категоризация обращений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</calcChain>
</file>

<file path=xl/sharedStrings.xml><?xml version="1.0" encoding="utf-8"?>
<sst xmlns="http://schemas.openxmlformats.org/spreadsheetml/2006/main" count="226" uniqueCount="194">
  <si>
    <t xml:space="preserve">Какая потребность? </t>
  </si>
  <si>
    <t>Владелец машины с android CAR</t>
  </si>
  <si>
    <t>Широкий круг потребителей</t>
  </si>
  <si>
    <t>Серый импорт - отсутствие гарантии</t>
  </si>
  <si>
    <t>Сужение</t>
  </si>
  <si>
    <t>Не хотят переплачивать/ нет официального дилерства</t>
  </si>
  <si>
    <t>Намного дешевле или нет официалов, гарантия истекла/нет гарантии</t>
  </si>
  <si>
    <t>Нужна возможность установки программы из сторонних источников</t>
  </si>
  <si>
    <t>EXCEED, AVATR исключаются, старые модели</t>
  </si>
  <si>
    <t>Оценка объема</t>
  </si>
  <si>
    <t>Думаю, что сломается, будет дорого стоить ремонт, долгий ремонт из-за отсутствия запчастей на складах, опыта ремонта - много информации о поломках, все вокруг говорят, хочу себя застраховать от этого</t>
  </si>
  <si>
    <t xml:space="preserve">Параметры соответствуют средним, езжу комфортно - рейтинг состояния автомобиля (состояние автомобиля </t>
  </si>
  <si>
    <t>Не допустим критических ситуаций, требующих ремонта</t>
  </si>
  <si>
    <t>150 000-200 000</t>
  </si>
  <si>
    <t>Дорого стоит диагностика относительно ТО</t>
  </si>
  <si>
    <t xml:space="preserve">Отсутствие доверия к обработке диагностике (инженерам-диагностам) и правильная ее интерпретация - нет опыта </t>
  </si>
  <si>
    <t>Гипотеза решения: отслеживание в истории параметров даст возможность спрогнозировать поломки</t>
  </si>
  <si>
    <t>Большой массив машин даст накатать и с помощью нейросетки обработать</t>
  </si>
  <si>
    <t xml:space="preserve">Диагностику даже не предлагают, просто меняют расходники без гарантии </t>
  </si>
  <si>
    <t>Ездить на машине в соответствии с ожиданиями/характеристиками</t>
  </si>
  <si>
    <t>Ценности</t>
  </si>
  <si>
    <t>Не переживаю, т.к. есть полная диагностическая информация (с историей), что все ок</t>
  </si>
  <si>
    <t>Есть сравнительная информации о соответствии характеристике моей машине общей массе, хочу понимать как сделать лучше езду чем у остальных</t>
  </si>
  <si>
    <t>Хочу продать б/у машину подороже/вообще продать (ликвидность вложений), ввиду нормальной эксплуатации, наличия истории эксплуатации, градации относительно новой, рейтинг автомобиля - НЕТ ПОДТВЕРЖДЕНИЯ нормальной эксплуатации</t>
  </si>
  <si>
    <t>Есть достоверная и полная информации об эксплуатации автомобиля, в том числе ДТП, которой доверяют (Удостоверяющий центр)</t>
  </si>
  <si>
    <t>Минимизируем риски "тяжелых поломок", длительного простоя</t>
  </si>
  <si>
    <t>Дешевая превентивная информация, исключаяющая необходимость диагностики и траты времени на нее ( не надо ездить никуда, ждать неправильной интерпретации - лучший дешевый диагност в он-лайн режиме 24/7)</t>
  </si>
  <si>
    <t xml:space="preserve">Доверяю дигностической информации из-за подтвержденного результата (объем информации, ее анализ и подтверждение правил анализа, анализ отклонений, деградации). </t>
  </si>
  <si>
    <t xml:space="preserve">Open Source для создания правил диагности </t>
  </si>
  <si>
    <t>Нет продукта диагностики, который официально предлагают с гарантией результата</t>
  </si>
  <si>
    <t>Проблемы</t>
  </si>
  <si>
    <t>Обещания</t>
  </si>
  <si>
    <t>Аларм-сигнал/уведомление, показывающий риск возникновения поломки в зависимости от рабочих показателей</t>
  </si>
  <si>
    <t>Предоставлен отчет истории использования автомобиля, включая ДТП (без регистрации), которому доверяют (Удостоверяющий центр)</t>
  </si>
  <si>
    <t xml:space="preserve">Гарантированный результат диагностики и  рекомендации </t>
  </si>
  <si>
    <t xml:space="preserve">Диагностика исторических данных в динамике (гарантированная). </t>
  </si>
  <si>
    <t>Метрики</t>
  </si>
  <si>
    <t>Отклонение стоимости диагностики от общерыночной диагностики</t>
  </si>
  <si>
    <t>% полезных уведомлений (уведомления, которых нет в базовых сообщениях об обшибках), относительно базовой диагностики автомобилей</t>
  </si>
  <si>
    <t>Показатель успешности</t>
  </si>
  <si>
    <t>Отклонение стоимости цены автомобиля при наличии/отсутствии истории(полезность информации)</t>
  </si>
  <si>
    <t xml:space="preserve">Дешевая информация о состоянии автомобиля </t>
  </si>
  <si>
    <t>Предоставлен диагностический отчет (не потрачено время на диагностику) в он-лайн режиме, в удобном виде</t>
  </si>
  <si>
    <t>% затраченного времени на получение информации о состоянии автомобиля (удобный вид/скорость обработки)</t>
  </si>
  <si>
    <t>Количество, порог и триггер анализируемых параметров, влияющих на качество управления автомобилем</t>
  </si>
  <si>
    <t>Предоставлена сравнительная характеристика машины относительно других автомобиолей и рекомендации по улучшению</t>
  </si>
  <si>
    <t>Количество автомобилей, находящихся в базе мониторинга</t>
  </si>
  <si>
    <t>Инциденты возникновения ситуаций, приведгих к поломке при отсутствии аларма</t>
  </si>
  <si>
    <t>Ошибка не дает понимания, что и как нужно сделать для исправления проблемы (длительность ремонта после диагностики)</t>
  </si>
  <si>
    <t xml:space="preserve">Не трачу время на понимание сути проблемы </t>
  </si>
  <si>
    <t>Минимизируем время на понимание сути проблемы (для диагностов)</t>
  </si>
  <si>
    <t>Потраченное время для решения проблемы (от индикации ошибки до его закрытия), количество рекомендаций для определения и решения проблем</t>
  </si>
  <si>
    <t>Решения</t>
  </si>
  <si>
    <t>Программа Андроид, мониторящая данные в он-лайн режиме, передающая их на сервер с последующим анализом и выявлением зависимости параметров перед возникновением проблемы</t>
  </si>
  <si>
    <t>Полная информация о состоянии автомобиля</t>
  </si>
  <si>
    <t>% охвата параметрами изменения в управлении автомобилем (% обращений, когда управление изменилось, а система их не выявила)</t>
  </si>
  <si>
    <t>Обратная связь от клиентов</t>
  </si>
  <si>
    <t>Подключение автомобиля к интернету обязательно, доступно</t>
  </si>
  <si>
    <t>Сервер сбора и обработки информации</t>
  </si>
  <si>
    <t>Автомобили, дающие вовзможность установить приложение</t>
  </si>
  <si>
    <t>Первичный минимальный объем данных (количество подключенных автомобилей)</t>
  </si>
  <si>
    <t>Диагност</t>
  </si>
  <si>
    <t>Диагностические знания</t>
  </si>
  <si>
    <t>Центр сбора обратной связи, ее обработки и структурирования</t>
  </si>
  <si>
    <t>Open Source ( механизм подключения сторонних диагностов для улучшения качества и оплаты их работы)</t>
  </si>
  <si>
    <t>Условия</t>
  </si>
  <si>
    <t>Все виды отчетов, необходимых пользователю (визуальный статус состояния автомобиля, выдаваемые параметры и алармы)</t>
  </si>
  <si>
    <t>Историческая база данных (объем информации, необходимой для хранения), вид информации и удостоверение подлинности (аутентификация и авторизация/ алгоритмов и пользователей) - доказуемая история о невозможности изменения и просмотра данных посторонними (какая информация не общая)</t>
  </si>
  <si>
    <t>Виды и каналы уведомлений с градацией на зоны риска</t>
  </si>
  <si>
    <t>Визуализация и отчет, минимизация стоимости обслуживания информации (дешевые решения)</t>
  </si>
  <si>
    <t>База знаний/правила диагностики их визуализация и рекомендации по устранению отклонений (обработка информации ИИ), черный ящик, распределение по категориям</t>
  </si>
  <si>
    <t>Хранение всех исторических данных, с постоянным обучение и алгоритмов диагностики, с выделением динамики изменений (обновлением классификации): новые и старые</t>
  </si>
  <si>
    <t>Рекомендации, визуализация проблем, активная диагностика</t>
  </si>
  <si>
    <t>1.</t>
  </si>
  <si>
    <t>Фронт Машина, Сервер, Разработка правил диагностами</t>
  </si>
  <si>
    <t>Данные (информация)</t>
  </si>
  <si>
    <t>Алгоритмы диагностики</t>
  </si>
  <si>
    <t>Визуализация</t>
  </si>
  <si>
    <t>Он-лайн</t>
  </si>
  <si>
    <t>Данные с форумов (повод для проработки) выюрать параметры влияния на частые проблемы</t>
  </si>
  <si>
    <t>Превентивная проработка алгоритмов диагностики: Анализ информации с форумов по наличию ошибок и поломок - их стуруктурирование/частота обращений - варианты решений (выявить наиболее встречающиеся проблемы)</t>
  </si>
  <si>
    <t>Выявление проблемы</t>
  </si>
  <si>
    <t xml:space="preserve">Реализация алгоритма диагностики </t>
  </si>
  <si>
    <t>Визуализация алгоритма диагностики</t>
  </si>
  <si>
    <t>2.</t>
  </si>
  <si>
    <t>Интерфейс для диагностов</t>
  </si>
  <si>
    <t>Данные с трех машин, отличия и особенности</t>
  </si>
  <si>
    <t>Определение алгоритмов диагностики на начальном этапе самостоятельно</t>
  </si>
  <si>
    <t>Проработка Open Source модели: подключение диагностов на подряде за проработку алгоритмов</t>
  </si>
  <si>
    <t>Формирование агнетской сети диагностов: продажа их услуг</t>
  </si>
  <si>
    <t>MVP с чего начинаем продукт</t>
  </si>
  <si>
    <t>Экономическая модель взаимодействия с Клиентом и подрядчиками (диагностами, оценка их работы)</t>
  </si>
  <si>
    <r>
      <rPr>
        <b/>
        <sz val="11"/>
        <color theme="1"/>
        <rFont val="Calibri"/>
        <family val="2"/>
        <charset val="204"/>
        <scheme val="minor"/>
      </rPr>
      <t>Модератор-тестировщик</t>
    </r>
    <r>
      <rPr>
        <sz val="11"/>
        <color theme="1"/>
        <rFont val="Calibri"/>
        <family val="2"/>
        <charset val="204"/>
        <scheme val="minor"/>
      </rPr>
      <t>: для координации уведомлений: правил диагностики</t>
    </r>
  </si>
  <si>
    <t>Организация и обработка обратной связи от Клиентов</t>
  </si>
  <si>
    <t>Новое</t>
  </si>
  <si>
    <t>Анализ запросов по Wordstat</t>
  </si>
  <si>
    <t>самые распространенные</t>
  </si>
  <si>
    <t>Понимание категорий и потребителя, проверка гипотез</t>
  </si>
  <si>
    <t>Обработка и анализ информации с форумов, чатов, автоматизация сбора обращений из TG</t>
  </si>
  <si>
    <t>№</t>
  </si>
  <si>
    <t>Текст запроса кратко</t>
  </si>
  <si>
    <t>Категория обращения</t>
  </si>
  <si>
    <t>Статус (есть/нет решения)</t>
  </si>
  <si>
    <t>Дата обращения</t>
  </si>
  <si>
    <t>Автор обращения</t>
  </si>
  <si>
    <t>Автор решения</t>
  </si>
  <si>
    <t>Решение/что помогло?</t>
  </si>
  <si>
    <t>Безопасность автомобиля</t>
  </si>
  <si>
    <t>Механизм выезжающих ручек опасный, чуть не зажало руку дочери</t>
  </si>
  <si>
    <t>Варианты решений</t>
  </si>
  <si>
    <t>-</t>
  </si>
  <si>
    <t>Аркадий Труханов</t>
  </si>
  <si>
    <t>Источник Информации</t>
  </si>
  <si>
    <t>Источники</t>
  </si>
  <si>
    <t>Группа любителей LiXiang. Обещаю ламповую атмосферу)</t>
  </si>
  <si>
    <t>1.1</t>
  </si>
  <si>
    <t>ПО</t>
  </si>
  <si>
    <t>Код</t>
  </si>
  <si>
    <t>Наименование</t>
  </si>
  <si>
    <t>Кол-во участников (справочно)</t>
  </si>
  <si>
    <t>Вложения</t>
  </si>
  <si>
    <t xml:space="preserve"> Что можно сделать перестал работать экран и температуру двигателя показывать, что можно сделать? (имеется вложение)</t>
  </si>
  <si>
    <t>1.Перезагрузите мультимедиа с двух кнопок на руле. 2. Зайдите с кармодс суппорт, потом в виджеты, переключите виджет компаса на Яндекс музыку, сохраняете, потом заново заходите и меняете обратно и все заработает. Мне так помогает</t>
  </si>
  <si>
    <t>Есть решение</t>
  </si>
  <si>
    <t>Зайдите с кармодс суппорт, потом в виджеты, переключите виджет компаса на Яндекс музыку, сохраняете, потом заново заходите и меняете обратно и все заработает. Мне так помогает</t>
  </si>
  <si>
    <t>Глюк ПО</t>
  </si>
  <si>
    <t>Невмержицкий Вячеслав</t>
  </si>
  <si>
    <t>Ilshat</t>
  </si>
  <si>
    <t xml:space="preserve">Никак не могу победить установку 8.0. Не приходит хоть убей. </t>
  </si>
  <si>
    <t>1. Китайцы пишут что надо в сервис обратится. 2. Напишите Suni @otalixiang , он поможет</t>
  </si>
  <si>
    <t>Михуй Андреевич</t>
  </si>
  <si>
    <t>Только что удалил кармод и хочу попробовать Ваш магазин</t>
  </si>
  <si>
    <t>Вячеслав</t>
  </si>
  <si>
    <t>Правозащитник</t>
  </si>
  <si>
    <t>https://t.me/lixiang_chat/129802/510418</t>
  </si>
  <si>
    <t>https://adb.anyapp.tech/</t>
  </si>
  <si>
    <t>?</t>
  </si>
  <si>
    <t>интернет на симке в лиссан на 35 гб уходит за несколько дней, хотя я этим интернетом вообще не пользуюсь</t>
  </si>
  <si>
    <t xml:space="preserve">Попробуйте в меню машины отключить обратную связь информацией с серверами лисяна. </t>
  </si>
  <si>
    <t>Критичность ошибки</t>
  </si>
  <si>
    <t>Магомед</t>
  </si>
  <si>
    <t xml:space="preserve">обновил до 8.0 . Сегодня поехал на отдых на своем авто . Автопилот работает ужасно, прям намучился . </t>
  </si>
  <si>
    <t>Покатайтесь ещё, прилетит обнова, вы её увидите только по расходу трафика, встанет и починится автопилот</t>
  </si>
  <si>
    <t>Петр Никитин</t>
  </si>
  <si>
    <t>Не приходят обновления 
Прошивка стоит 6.4.1 до сих пор</t>
  </si>
  <si>
    <t>Ехать на диагностику. Или написать suni</t>
  </si>
  <si>
    <t>Поставил докатку временно доехать , в машине перестали работать датчики парктроника, абс и eps. Как исправить?</t>
  </si>
  <si>
    <t>При подборе запаски надо было воспользоваться калькулятором шин. У меня докатка с мерса она одинаковая по высоте -ошибок нет, ставил меньшую были сразу как у вас</t>
  </si>
  <si>
    <t>SD777</t>
  </si>
  <si>
    <t>Виталий  В</t>
  </si>
  <si>
    <t>Симка подключена инет есть показывает 4г но не получаестся даже обновить машину</t>
  </si>
  <si>
    <t>В сс выключите системный русский язык</t>
  </si>
  <si>
    <t>А у Вас LCC при этом починился? Вроде те, у кого починился, как раз по окончанию большого трафикожора это поняли. У меня тоже жрет бесконечно - и не чинится.</t>
  </si>
  <si>
    <t>Вот две версии 8.0
Младшая с пьяным круизом, старшая и есть патч</t>
  </si>
  <si>
    <t>Профессиональное сообщество "Диагносты"</t>
  </si>
  <si>
    <t xml:space="preserve">Поиск  профессиональных источников знаний, подключение к текущим базам </t>
  </si>
  <si>
    <t>Погружение в тему диагностики: "Наработка собственных технических знаний".</t>
  </si>
  <si>
    <t>Выявление профессионалов-диагностов для привлечения нам в команду</t>
  </si>
  <si>
    <t>Сбор реальных кейсов для продажи нашей превентивной системы диагностик</t>
  </si>
  <si>
    <t>Формирование базы знаний (книги, сбор информации ищ групп, рекомендации)</t>
  </si>
  <si>
    <t>Актуальность проблем и обращений (анализ последних запросов по разным категориям машин, категоризация потребителей для дальнейшей кастомизации</t>
  </si>
  <si>
    <t>П.4. и П.6 - выявление MVP для продукта, выжимка для формирования гипотез</t>
  </si>
  <si>
    <t>Результат: определены все источники информации для постоянного сбора информации и ее анализа посредством  ИИ, идет самообучение системы</t>
  </si>
  <si>
    <t>Сообщество "Автолюбителей"</t>
  </si>
  <si>
    <t>Выяявление первоначальных групп пользователей и каналов сбора информации для MVP (Мерседес, Порше, Li как вариант)</t>
  </si>
  <si>
    <t>Настройка бота-парсера для сбора информации:</t>
  </si>
  <si>
    <t>2.1.</t>
  </si>
  <si>
    <t>Установка бота и выбор сервера - подключение</t>
  </si>
  <si>
    <t>2.2.</t>
  </si>
  <si>
    <t>2.3.</t>
  </si>
  <si>
    <t>Запросы по которым собирается информация и обучение системы</t>
  </si>
  <si>
    <t>Добавление всех групп с которых собирается информация</t>
  </si>
  <si>
    <t>Формирование базы знаний (обращений, рекомендаций и решений) на сервере, сопоставление информации с диагностами</t>
  </si>
  <si>
    <t>2.4</t>
  </si>
  <si>
    <t>2.5.</t>
  </si>
  <si>
    <t>Подключение и донастройка ИИ для обработки информации</t>
  </si>
  <si>
    <t>3.</t>
  </si>
  <si>
    <t>Выявление активных пользователей-амбассадоров (бренда/решения проблем для всех) - формирование своего профессионального сообщества, с экспериментированием, привлечением их для сбора информации</t>
  </si>
  <si>
    <t>Сбор данных в он-лайн режиме для формирования базы знаний</t>
  </si>
  <si>
    <t>Подключение наших машин для сбора данных/диагностики</t>
  </si>
  <si>
    <t>CustDev (исследование Клиента)</t>
  </si>
  <si>
    <t>Список вопросов/гипотез по которым составляются вопросы</t>
  </si>
  <si>
    <t>Выбор респондентов для опроса</t>
  </si>
  <si>
    <t>Программа исследований разных групп</t>
  </si>
  <si>
    <t>Аналитика исслдеования-выявление ценностей (опровержение/подтверждение гипотез)</t>
  </si>
  <si>
    <t>Что из пункта 4 можем закрыть нашим решением</t>
  </si>
  <si>
    <t>Формирование MVP методом RICE у четом CustDev</t>
  </si>
  <si>
    <t>Определение ключевой ценности и ключевой концепции</t>
  </si>
  <si>
    <t>MVP</t>
  </si>
  <si>
    <t xml:space="preserve">Определение параметров важных потребителю и решений которыми мы это закроем: сроки, стоимость (экономика: затраты и готовность платить за них), </t>
  </si>
  <si>
    <t>Определение ресурсов: Инвестиции, Люди, Партнерство</t>
  </si>
  <si>
    <t>Сбор обратной связи по доработке MVP (виражи), формирование первого вида продукта (настоящего MVP)</t>
  </si>
  <si>
    <t>Привлечение Диагностов (партнеров) и автолюбителей (клиентов) для улучшений продукта</t>
  </si>
  <si>
    <t>Формирование MVP для партнеров, коллаборации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</si>
</sst>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color rgb="FF000000"/>
      <name val="Segoe UI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1" xfId="0" applyBorder="1"/>
    <xf numFmtId="0" fontId="2" fillId="0" borderId="1" xfId="0" applyFont="1" applyFill="1" applyBorder="1"/>
    <xf numFmtId="0" fontId="0" fillId="0" borderId="1" xfId="0" applyBorder="1" applyAlignment="1">
      <alignment horizontal="left" vertical="center"/>
    </xf>
    <xf numFmtId="164" fontId="0" fillId="0" borderId="1" xfId="1" applyFont="1" applyFill="1" applyBorder="1"/>
    <xf numFmtId="0" fontId="0" fillId="0" borderId="1" xfId="0" applyFill="1" applyBorder="1" applyAlignment="1">
      <alignment wrapText="1" shrinkToFi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Fill="1" applyBorder="1" applyAlignment="1">
      <alignment wrapText="1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0" fillId="0" borderId="2" xfId="0" applyFont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3" xfId="0" applyFont="1" applyFill="1" applyBorder="1" applyAlignment="1">
      <alignment horizontal="left" wrapText="1"/>
    </xf>
    <xf numFmtId="0" fontId="0" fillId="0" borderId="1" xfId="0" applyFill="1" applyBorder="1"/>
    <xf numFmtId="0" fontId="2" fillId="0" borderId="1" xfId="0" applyFont="1" applyFill="1" applyBorder="1" applyAlignment="1">
      <alignment wrapText="1"/>
    </xf>
    <xf numFmtId="0" fontId="0" fillId="0" borderId="2" xfId="0" applyFill="1" applyBorder="1"/>
    <xf numFmtId="0" fontId="0" fillId="0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7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4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49" fontId="0" fillId="0" borderId="1" xfId="0" applyNumberFormat="1" applyBorder="1" applyAlignment="1">
      <alignment horizontal="right" wrapText="1"/>
    </xf>
    <xf numFmtId="14" fontId="0" fillId="0" borderId="1" xfId="0" applyNumberFormat="1" applyBorder="1" applyAlignment="1">
      <alignment wrapText="1"/>
    </xf>
    <xf numFmtId="49" fontId="0" fillId="0" borderId="1" xfId="0" applyNumberFormat="1" applyBorder="1" applyAlignment="1">
      <alignment horizontal="center" wrapText="1"/>
    </xf>
    <xf numFmtId="0" fontId="6" fillId="0" borderId="1" xfId="2" applyBorder="1" applyAlignment="1">
      <alignment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adb.anyapp.tech/" TargetMode="External"/><Relationship Id="rId1" Type="http://schemas.openxmlformats.org/officeDocument/2006/relationships/hyperlink" Target="https://t.me/lixiang_chat/129802/5104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8"/>
  <sheetViews>
    <sheetView topLeftCell="B38" workbookViewId="0">
      <selection activeCell="C59" sqref="C59"/>
    </sheetView>
  </sheetViews>
  <sheetFormatPr defaultRowHeight="14.4" x14ac:dyDescent="0.3"/>
  <cols>
    <col min="2" max="2" width="17.5546875" customWidth="1"/>
    <col min="3" max="3" width="87.5546875" customWidth="1"/>
    <col min="4" max="4" width="62.77734375" customWidth="1"/>
    <col min="5" max="5" width="25.77734375" bestFit="1" customWidth="1"/>
    <col min="6" max="6" width="14.21875" bestFit="1" customWidth="1"/>
  </cols>
  <sheetData>
    <row r="2" spans="2:4" x14ac:dyDescent="0.3">
      <c r="B2" s="1" t="s">
        <v>2</v>
      </c>
      <c r="C2" s="1" t="s">
        <v>1</v>
      </c>
    </row>
    <row r="3" spans="2:4" x14ac:dyDescent="0.3">
      <c r="B3" s="55" t="s">
        <v>4</v>
      </c>
      <c r="C3" s="1" t="s">
        <v>3</v>
      </c>
    </row>
    <row r="4" spans="2:4" x14ac:dyDescent="0.3">
      <c r="B4" s="55"/>
      <c r="C4" s="1" t="s">
        <v>5</v>
      </c>
    </row>
    <row r="5" spans="2:4" x14ac:dyDescent="0.3">
      <c r="B5" s="55"/>
      <c r="C5" s="1" t="s">
        <v>6</v>
      </c>
    </row>
    <row r="6" spans="2:4" ht="19.95" customHeight="1" x14ac:dyDescent="0.3">
      <c r="B6" s="1"/>
      <c r="C6" s="2" t="s">
        <v>7</v>
      </c>
      <c r="D6" t="s">
        <v>8</v>
      </c>
    </row>
    <row r="7" spans="2:4" x14ac:dyDescent="0.3">
      <c r="B7" s="13" t="s">
        <v>9</v>
      </c>
      <c r="C7" s="4" t="s">
        <v>13</v>
      </c>
    </row>
    <row r="8" spans="2:4" x14ac:dyDescent="0.3">
      <c r="B8" s="13" t="s">
        <v>0</v>
      </c>
      <c r="C8" s="9" t="s">
        <v>19</v>
      </c>
    </row>
    <row r="9" spans="2:4" ht="43.2" x14ac:dyDescent="0.3">
      <c r="B9" s="56" t="s">
        <v>30</v>
      </c>
      <c r="C9" s="5" t="s">
        <v>10</v>
      </c>
      <c r="D9" s="1"/>
    </row>
    <row r="10" spans="2:4" ht="28.8" x14ac:dyDescent="0.3">
      <c r="B10" s="57"/>
      <c r="C10" s="6" t="s">
        <v>11</v>
      </c>
      <c r="D10" s="1"/>
    </row>
    <row r="11" spans="2:4" ht="43.2" x14ac:dyDescent="0.3">
      <c r="B11" s="57"/>
      <c r="C11" s="6" t="s">
        <v>23</v>
      </c>
    </row>
    <row r="12" spans="2:4" x14ac:dyDescent="0.3">
      <c r="B12" s="57"/>
      <c r="C12" s="10" t="s">
        <v>12</v>
      </c>
    </row>
    <row r="13" spans="2:4" x14ac:dyDescent="0.3">
      <c r="B13" s="57"/>
      <c r="C13" s="11" t="s">
        <v>14</v>
      </c>
      <c r="D13" s="7" t="s">
        <v>16</v>
      </c>
    </row>
    <row r="14" spans="2:4" ht="28.8" x14ac:dyDescent="0.3">
      <c r="B14" s="57"/>
      <c r="C14" s="11" t="s">
        <v>15</v>
      </c>
      <c r="D14" s="7" t="s">
        <v>17</v>
      </c>
    </row>
    <row r="15" spans="2:4" x14ac:dyDescent="0.3">
      <c r="B15" s="57"/>
      <c r="C15" s="11" t="s">
        <v>18</v>
      </c>
      <c r="D15" s="7"/>
    </row>
    <row r="16" spans="2:4" ht="28.8" x14ac:dyDescent="0.3">
      <c r="B16" s="58"/>
      <c r="C16" s="21" t="s">
        <v>48</v>
      </c>
      <c r="D16" s="1"/>
    </row>
    <row r="17" spans="1:5" x14ac:dyDescent="0.3">
      <c r="B17" s="56" t="s">
        <v>20</v>
      </c>
      <c r="C17" s="14" t="s">
        <v>21</v>
      </c>
      <c r="D17" s="8"/>
    </row>
    <row r="18" spans="1:5" ht="28.8" x14ac:dyDescent="0.3">
      <c r="B18" s="57"/>
      <c r="C18" s="15" t="s">
        <v>22</v>
      </c>
      <c r="D18" s="8"/>
    </row>
    <row r="19" spans="1:5" ht="28.8" x14ac:dyDescent="0.3">
      <c r="B19" s="57"/>
      <c r="C19" s="15" t="s">
        <v>24</v>
      </c>
      <c r="D19" s="8"/>
    </row>
    <row r="20" spans="1:5" x14ac:dyDescent="0.3">
      <c r="B20" s="57"/>
      <c r="C20" s="15" t="s">
        <v>25</v>
      </c>
      <c r="D20" s="8"/>
    </row>
    <row r="21" spans="1:5" ht="43.2" x14ac:dyDescent="0.3">
      <c r="B21" s="57"/>
      <c r="C21" s="17" t="s">
        <v>26</v>
      </c>
      <c r="D21" s="8"/>
    </row>
    <row r="22" spans="1:5" ht="28.8" x14ac:dyDescent="0.3">
      <c r="B22" s="57"/>
      <c r="C22" s="16" t="s">
        <v>27</v>
      </c>
      <c r="D22" s="12" t="s">
        <v>28</v>
      </c>
    </row>
    <row r="23" spans="1:5" x14ac:dyDescent="0.3">
      <c r="B23" s="57"/>
      <c r="C23" s="14" t="s">
        <v>29</v>
      </c>
      <c r="D23" s="12"/>
    </row>
    <row r="24" spans="1:5" x14ac:dyDescent="0.3">
      <c r="A24" s="1"/>
      <c r="B24" s="58"/>
      <c r="C24" s="22" t="s">
        <v>49</v>
      </c>
      <c r="D24" s="8" t="s">
        <v>36</v>
      </c>
    </row>
    <row r="25" spans="1:5" ht="28.8" x14ac:dyDescent="0.3">
      <c r="B25" s="59" t="s">
        <v>31</v>
      </c>
      <c r="C25" s="14" t="s">
        <v>42</v>
      </c>
      <c r="D25" s="6" t="s">
        <v>43</v>
      </c>
    </row>
    <row r="26" spans="1:5" ht="28.8" x14ac:dyDescent="0.3">
      <c r="B26" s="60"/>
      <c r="C26" s="14" t="s">
        <v>45</v>
      </c>
      <c r="D26" s="3" t="s">
        <v>46</v>
      </c>
    </row>
    <row r="27" spans="1:5" ht="28.8" x14ac:dyDescent="0.3">
      <c r="B27" s="60"/>
      <c r="C27" s="14" t="s">
        <v>33</v>
      </c>
      <c r="D27" s="6" t="s">
        <v>40</v>
      </c>
    </row>
    <row r="28" spans="1:5" ht="28.8" x14ac:dyDescent="0.3">
      <c r="B28" s="60"/>
      <c r="C28" s="6" t="s">
        <v>32</v>
      </c>
      <c r="D28" s="20" t="s">
        <v>47</v>
      </c>
      <c r="E28" s="19" t="s">
        <v>39</v>
      </c>
    </row>
    <row r="29" spans="1:5" x14ac:dyDescent="0.3">
      <c r="B29" s="60"/>
      <c r="C29" s="6" t="s">
        <v>41</v>
      </c>
      <c r="D29" s="1" t="s">
        <v>37</v>
      </c>
    </row>
    <row r="30" spans="1:5" ht="43.2" x14ac:dyDescent="0.3">
      <c r="B30" s="60"/>
      <c r="C30" s="6" t="s">
        <v>54</v>
      </c>
      <c r="D30" s="20" t="s">
        <v>55</v>
      </c>
      <c r="E30" s="19" t="s">
        <v>56</v>
      </c>
    </row>
    <row r="31" spans="1:5" ht="28.8" x14ac:dyDescent="0.3">
      <c r="B31" s="60"/>
      <c r="C31" s="6" t="s">
        <v>34</v>
      </c>
      <c r="D31" s="20" t="s">
        <v>44</v>
      </c>
    </row>
    <row r="32" spans="1:5" ht="43.2" x14ac:dyDescent="0.3">
      <c r="B32" s="60"/>
      <c r="C32" s="6" t="s">
        <v>35</v>
      </c>
      <c r="D32" s="20" t="s">
        <v>38</v>
      </c>
    </row>
    <row r="33" spans="2:6" ht="43.2" x14ac:dyDescent="0.3">
      <c r="B33" s="60"/>
      <c r="C33" s="25" t="s">
        <v>50</v>
      </c>
      <c r="D33" s="26" t="s">
        <v>51</v>
      </c>
      <c r="E33" s="31" t="s">
        <v>65</v>
      </c>
    </row>
    <row r="34" spans="2:6" ht="43.2" x14ac:dyDescent="0.3">
      <c r="B34" s="53" t="s">
        <v>52</v>
      </c>
      <c r="C34" s="14" t="s">
        <v>42</v>
      </c>
      <c r="D34" s="24" t="s">
        <v>53</v>
      </c>
      <c r="E34" s="28" t="s">
        <v>57</v>
      </c>
    </row>
    <row r="35" spans="2:6" ht="28.8" x14ac:dyDescent="0.3">
      <c r="B35" s="54"/>
      <c r="C35" s="14" t="s">
        <v>45</v>
      </c>
      <c r="D35" s="6" t="s">
        <v>66</v>
      </c>
      <c r="E35" s="28" t="s">
        <v>58</v>
      </c>
    </row>
    <row r="36" spans="2:6" ht="72" x14ac:dyDescent="0.3">
      <c r="B36" s="54"/>
      <c r="C36" s="14" t="s">
        <v>33</v>
      </c>
      <c r="D36" s="6" t="s">
        <v>67</v>
      </c>
      <c r="E36" s="28" t="s">
        <v>59</v>
      </c>
    </row>
    <row r="37" spans="2:6" ht="57.6" x14ac:dyDescent="0.3">
      <c r="B37" s="54"/>
      <c r="C37" s="6" t="s">
        <v>32</v>
      </c>
      <c r="D37" s="3" t="s">
        <v>68</v>
      </c>
      <c r="E37" s="29" t="s">
        <v>60</v>
      </c>
    </row>
    <row r="38" spans="2:6" ht="28.8" x14ac:dyDescent="0.3">
      <c r="B38" s="54"/>
      <c r="C38" s="6" t="s">
        <v>41</v>
      </c>
      <c r="D38" s="6" t="s">
        <v>69</v>
      </c>
      <c r="E38" s="30" t="s">
        <v>61</v>
      </c>
    </row>
    <row r="39" spans="2:6" ht="43.2" x14ac:dyDescent="0.3">
      <c r="B39" s="54"/>
      <c r="C39" s="6" t="s">
        <v>34</v>
      </c>
      <c r="D39" s="6" t="s">
        <v>70</v>
      </c>
      <c r="E39" s="30" t="s">
        <v>62</v>
      </c>
    </row>
    <row r="40" spans="2:6" ht="43.2" x14ac:dyDescent="0.3">
      <c r="B40" s="54"/>
      <c r="C40" s="6" t="s">
        <v>35</v>
      </c>
      <c r="D40" s="6" t="s">
        <v>71</v>
      </c>
      <c r="E40" s="29" t="s">
        <v>63</v>
      </c>
    </row>
    <row r="41" spans="2:6" ht="72" x14ac:dyDescent="0.3">
      <c r="B41" s="54"/>
      <c r="C41" s="23" t="s">
        <v>50</v>
      </c>
      <c r="D41" s="1" t="s">
        <v>72</v>
      </c>
      <c r="E41" s="29" t="s">
        <v>64</v>
      </c>
    </row>
    <row r="42" spans="2:6" x14ac:dyDescent="0.3">
      <c r="D42" s="21" t="s">
        <v>74</v>
      </c>
    </row>
    <row r="44" spans="2:6" ht="43.2" x14ac:dyDescent="0.3">
      <c r="B44" s="18" t="s">
        <v>73</v>
      </c>
      <c r="C44" s="27" t="s">
        <v>80</v>
      </c>
      <c r="D44" s="33" t="s">
        <v>75</v>
      </c>
      <c r="E44" s="32" t="s">
        <v>76</v>
      </c>
      <c r="F44" t="s">
        <v>77</v>
      </c>
    </row>
    <row r="45" spans="2:6" x14ac:dyDescent="0.3">
      <c r="B45" s="18" t="s">
        <v>84</v>
      </c>
      <c r="C45" t="s">
        <v>85</v>
      </c>
      <c r="D45" t="s">
        <v>78</v>
      </c>
      <c r="E45" s="32" t="s">
        <v>81</v>
      </c>
    </row>
    <row r="46" spans="2:6" ht="28.8" x14ac:dyDescent="0.3">
      <c r="B46" s="18"/>
      <c r="D46" s="27" t="s">
        <v>79</v>
      </c>
      <c r="E46" s="32" t="s">
        <v>82</v>
      </c>
    </row>
    <row r="47" spans="2:6" ht="28.8" x14ac:dyDescent="0.3">
      <c r="B47">
        <v>1</v>
      </c>
      <c r="C47" t="s">
        <v>86</v>
      </c>
      <c r="E47" s="32" t="s">
        <v>83</v>
      </c>
    </row>
    <row r="48" spans="2:6" x14ac:dyDescent="0.3">
      <c r="B48">
        <v>2</v>
      </c>
      <c r="C48" t="s">
        <v>87</v>
      </c>
    </row>
    <row r="49" spans="2:4" x14ac:dyDescent="0.3">
      <c r="B49">
        <v>3</v>
      </c>
      <c r="C49" t="s">
        <v>88</v>
      </c>
    </row>
    <row r="50" spans="2:4" x14ac:dyDescent="0.3">
      <c r="B50">
        <v>4</v>
      </c>
      <c r="C50" t="s">
        <v>89</v>
      </c>
    </row>
    <row r="51" spans="2:4" x14ac:dyDescent="0.3">
      <c r="B51">
        <v>5</v>
      </c>
      <c r="C51" t="s">
        <v>90</v>
      </c>
    </row>
    <row r="52" spans="2:4" x14ac:dyDescent="0.3">
      <c r="B52">
        <v>6</v>
      </c>
      <c r="C52" t="s">
        <v>91</v>
      </c>
    </row>
    <row r="53" spans="2:4" x14ac:dyDescent="0.3">
      <c r="B53">
        <v>7</v>
      </c>
      <c r="C53" t="s">
        <v>92</v>
      </c>
    </row>
    <row r="54" spans="2:4" x14ac:dyDescent="0.3">
      <c r="B54">
        <v>8</v>
      </c>
      <c r="C54" t="s">
        <v>93</v>
      </c>
    </row>
    <row r="56" spans="2:4" x14ac:dyDescent="0.3">
      <c r="B56" t="s">
        <v>94</v>
      </c>
      <c r="C56" t="s">
        <v>95</v>
      </c>
      <c r="D56" t="s">
        <v>96</v>
      </c>
    </row>
    <row r="57" spans="2:4" x14ac:dyDescent="0.3">
      <c r="C57" t="s">
        <v>97</v>
      </c>
    </row>
    <row r="58" spans="2:4" x14ac:dyDescent="0.3">
      <c r="C58" t="s">
        <v>98</v>
      </c>
    </row>
  </sheetData>
  <mergeCells count="5">
    <mergeCell ref="B34:B41"/>
    <mergeCell ref="B3:B5"/>
    <mergeCell ref="B9:B16"/>
    <mergeCell ref="B17:B24"/>
    <mergeCell ref="B25:B3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topLeftCell="A10" workbookViewId="0">
      <selection activeCell="B35" sqref="B35"/>
    </sheetView>
  </sheetViews>
  <sheetFormatPr defaultRowHeight="14.4" x14ac:dyDescent="0.3"/>
  <cols>
    <col min="2" max="2" width="71.44140625" bestFit="1" customWidth="1"/>
  </cols>
  <sheetData>
    <row r="1" spans="1:2" x14ac:dyDescent="0.3">
      <c r="A1" s="50" t="s">
        <v>99</v>
      </c>
      <c r="B1" s="50" t="s">
        <v>154</v>
      </c>
    </row>
    <row r="2" spans="1:2" x14ac:dyDescent="0.3">
      <c r="A2" s="49">
        <v>1</v>
      </c>
      <c r="B2" s="49" t="s">
        <v>155</v>
      </c>
    </row>
    <row r="3" spans="1:2" x14ac:dyDescent="0.3">
      <c r="A3" s="49">
        <v>2</v>
      </c>
      <c r="B3" s="49" t="s">
        <v>156</v>
      </c>
    </row>
    <row r="4" spans="1:2" x14ac:dyDescent="0.3">
      <c r="A4" s="49">
        <v>3</v>
      </c>
      <c r="B4" s="49" t="s">
        <v>157</v>
      </c>
    </row>
    <row r="5" spans="1:2" x14ac:dyDescent="0.3">
      <c r="A5" s="49">
        <v>4</v>
      </c>
      <c r="B5" s="49" t="s">
        <v>158</v>
      </c>
    </row>
    <row r="6" spans="1:2" x14ac:dyDescent="0.3">
      <c r="A6" s="49">
        <v>5</v>
      </c>
      <c r="B6" s="49" t="s">
        <v>159</v>
      </c>
    </row>
    <row r="7" spans="1:2" ht="43.2" x14ac:dyDescent="0.3">
      <c r="A7" s="49">
        <v>6</v>
      </c>
      <c r="B7" s="51" t="s">
        <v>160</v>
      </c>
    </row>
    <row r="8" spans="1:2" ht="25.8" customHeight="1" x14ac:dyDescent="0.3">
      <c r="A8" s="49">
        <v>7</v>
      </c>
      <c r="B8" s="49" t="s">
        <v>161</v>
      </c>
    </row>
    <row r="9" spans="1:2" ht="28.8" x14ac:dyDescent="0.3">
      <c r="A9" s="49">
        <v>8</v>
      </c>
      <c r="B9" s="51" t="s">
        <v>162</v>
      </c>
    </row>
    <row r="10" spans="1:2" x14ac:dyDescent="0.3">
      <c r="A10" s="50" t="s">
        <v>99</v>
      </c>
      <c r="B10" s="50" t="s">
        <v>163</v>
      </c>
    </row>
    <row r="11" spans="1:2" ht="28.8" x14ac:dyDescent="0.3">
      <c r="A11" s="49">
        <v>1</v>
      </c>
      <c r="B11" s="51" t="s">
        <v>164</v>
      </c>
    </row>
    <row r="12" spans="1:2" x14ac:dyDescent="0.3">
      <c r="A12" s="49">
        <v>2</v>
      </c>
      <c r="B12" s="49" t="s">
        <v>165</v>
      </c>
    </row>
    <row r="13" spans="1:2" x14ac:dyDescent="0.3">
      <c r="A13" s="52" t="s">
        <v>166</v>
      </c>
      <c r="B13" s="49" t="s">
        <v>167</v>
      </c>
    </row>
    <row r="14" spans="1:2" x14ac:dyDescent="0.3">
      <c r="A14" s="52" t="s">
        <v>168</v>
      </c>
      <c r="B14" s="49" t="s">
        <v>170</v>
      </c>
    </row>
    <row r="15" spans="1:2" x14ac:dyDescent="0.3">
      <c r="A15" s="52" t="s">
        <v>169</v>
      </c>
      <c r="B15" s="49" t="s">
        <v>171</v>
      </c>
    </row>
    <row r="16" spans="1:2" ht="28.8" x14ac:dyDescent="0.3">
      <c r="A16" s="52" t="s">
        <v>173</v>
      </c>
      <c r="B16" s="51" t="s">
        <v>172</v>
      </c>
    </row>
    <row r="17" spans="1:2" x14ac:dyDescent="0.3">
      <c r="A17" s="52" t="s">
        <v>174</v>
      </c>
      <c r="B17" s="49" t="s">
        <v>175</v>
      </c>
    </row>
    <row r="18" spans="1:2" ht="43.2" x14ac:dyDescent="0.3">
      <c r="A18" s="52" t="s">
        <v>176</v>
      </c>
      <c r="B18" s="51" t="s">
        <v>177</v>
      </c>
    </row>
    <row r="19" spans="1:2" x14ac:dyDescent="0.3">
      <c r="A19" s="49">
        <v>4</v>
      </c>
      <c r="B19" s="49" t="s">
        <v>178</v>
      </c>
    </row>
    <row r="20" spans="1:2" x14ac:dyDescent="0.3">
      <c r="A20" s="49">
        <v>5</v>
      </c>
      <c r="B20" s="51" t="s">
        <v>179</v>
      </c>
    </row>
    <row r="21" spans="1:2" x14ac:dyDescent="0.3">
      <c r="A21" s="50" t="s">
        <v>99</v>
      </c>
      <c r="B21" s="50" t="s">
        <v>180</v>
      </c>
    </row>
    <row r="22" spans="1:2" x14ac:dyDescent="0.3">
      <c r="A22" s="49">
        <v>1</v>
      </c>
      <c r="B22" s="51" t="s">
        <v>181</v>
      </c>
    </row>
    <row r="23" spans="1:2" x14ac:dyDescent="0.3">
      <c r="A23" s="49">
        <v>2</v>
      </c>
      <c r="B23" s="51" t="s">
        <v>182</v>
      </c>
    </row>
    <row r="24" spans="1:2" x14ac:dyDescent="0.3">
      <c r="A24" s="49">
        <v>3</v>
      </c>
      <c r="B24" s="51" t="s">
        <v>183</v>
      </c>
    </row>
    <row r="25" spans="1:2" ht="28.8" x14ac:dyDescent="0.3">
      <c r="A25" s="49">
        <v>4</v>
      </c>
      <c r="B25" s="51" t="s">
        <v>184</v>
      </c>
    </row>
    <row r="26" spans="1:2" x14ac:dyDescent="0.3">
      <c r="A26" s="49">
        <v>5</v>
      </c>
      <c r="B26" s="51" t="s">
        <v>185</v>
      </c>
    </row>
    <row r="27" spans="1:2" x14ac:dyDescent="0.3">
      <c r="A27" s="49">
        <v>6</v>
      </c>
      <c r="B27" s="51" t="s">
        <v>186</v>
      </c>
    </row>
    <row r="28" spans="1:2" x14ac:dyDescent="0.3">
      <c r="A28" s="49">
        <v>7</v>
      </c>
      <c r="B28" s="51" t="s">
        <v>187</v>
      </c>
    </row>
    <row r="29" spans="1:2" x14ac:dyDescent="0.3">
      <c r="A29" s="50" t="s">
        <v>99</v>
      </c>
      <c r="B29" s="50" t="s">
        <v>188</v>
      </c>
    </row>
    <row r="30" spans="1:2" ht="28.8" x14ac:dyDescent="0.3">
      <c r="A30" s="49">
        <v>1</v>
      </c>
      <c r="B30" s="51" t="s">
        <v>189</v>
      </c>
    </row>
    <row r="31" spans="1:2" x14ac:dyDescent="0.3">
      <c r="A31" s="49">
        <v>2</v>
      </c>
      <c r="B31" s="51" t="s">
        <v>190</v>
      </c>
    </row>
    <row r="32" spans="1:2" ht="28.8" x14ac:dyDescent="0.3">
      <c r="A32" s="49">
        <v>3</v>
      </c>
      <c r="B32" s="51" t="s">
        <v>191</v>
      </c>
    </row>
    <row r="33" spans="1:2" ht="28.8" x14ac:dyDescent="0.3">
      <c r="A33" s="49">
        <v>4</v>
      </c>
      <c r="B33" s="51" t="s">
        <v>192</v>
      </c>
    </row>
    <row r="34" spans="1:2" x14ac:dyDescent="0.3">
      <c r="A34" s="49">
        <v>5</v>
      </c>
      <c r="B34" s="51" t="s">
        <v>193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selection activeCell="B1" sqref="B1"/>
    </sheetView>
  </sheetViews>
  <sheetFormatPr defaultRowHeight="14.4" x14ac:dyDescent="0.3"/>
  <cols>
    <col min="1" max="1" width="8.88671875" style="27"/>
    <col min="2" max="2" width="60.77734375" style="27" bestFit="1" customWidth="1"/>
    <col min="3" max="3" width="27.88671875" style="27" customWidth="1"/>
    <col min="4" max="4" width="24.44140625" style="27" customWidth="1"/>
    <col min="5" max="5" width="23.6640625" style="27" bestFit="1" customWidth="1"/>
    <col min="6" max="7" width="25.77734375" style="27" customWidth="1"/>
    <col min="8" max="8" width="18.6640625" style="27" customWidth="1"/>
    <col min="9" max="9" width="17.88671875" style="27" customWidth="1"/>
    <col min="10" max="10" width="17.109375" style="27" customWidth="1"/>
    <col min="11" max="11" width="11.33203125" style="27" bestFit="1" customWidth="1"/>
    <col min="12" max="12" width="15.44140625" style="27" customWidth="1"/>
    <col min="13" max="13" width="15.44140625" style="48" customWidth="1"/>
    <col min="14" max="14" width="10.44140625" style="27" bestFit="1" customWidth="1"/>
    <col min="15" max="15" width="10.44140625" style="27" customWidth="1"/>
    <col min="16" max="16" width="53.88671875" style="27" bestFit="1" customWidth="1"/>
    <col min="17" max="17" width="17.6640625" style="27" customWidth="1"/>
    <col min="18" max="16384" width="8.88671875" style="27"/>
  </cols>
  <sheetData>
    <row r="1" spans="1:17" ht="28.8" x14ac:dyDescent="0.3">
      <c r="A1" s="36" t="s">
        <v>99</v>
      </c>
      <c r="B1" s="20" t="s">
        <v>100</v>
      </c>
      <c r="C1" s="20" t="s">
        <v>101</v>
      </c>
      <c r="D1" s="20" t="s">
        <v>109</v>
      </c>
      <c r="E1" s="20" t="s">
        <v>102</v>
      </c>
      <c r="F1" s="35" t="s">
        <v>106</v>
      </c>
      <c r="G1" s="35" t="s">
        <v>112</v>
      </c>
      <c r="H1" s="20" t="s">
        <v>103</v>
      </c>
      <c r="I1" s="20" t="s">
        <v>104</v>
      </c>
      <c r="J1" s="20" t="s">
        <v>105</v>
      </c>
      <c r="K1" s="24" t="s">
        <v>120</v>
      </c>
      <c r="L1" s="46" t="s">
        <v>139</v>
      </c>
      <c r="M1" s="45"/>
    </row>
    <row r="2" spans="1:17" ht="28.8" x14ac:dyDescent="0.3">
      <c r="A2" s="37">
        <v>1</v>
      </c>
      <c r="B2" s="34" t="s">
        <v>108</v>
      </c>
      <c r="C2" s="34" t="s">
        <v>107</v>
      </c>
      <c r="D2" s="34" t="s">
        <v>110</v>
      </c>
      <c r="E2" s="34" t="s">
        <v>110</v>
      </c>
      <c r="F2" s="34" t="s">
        <v>110</v>
      </c>
      <c r="G2" s="43" t="str">
        <f>O4</f>
        <v>1.1</v>
      </c>
      <c r="H2" s="38">
        <v>45960</v>
      </c>
      <c r="I2" s="34" t="s">
        <v>111</v>
      </c>
      <c r="J2" s="34" t="s">
        <v>110</v>
      </c>
      <c r="K2" s="39" t="s">
        <v>110</v>
      </c>
      <c r="L2" s="47"/>
      <c r="N2" s="24" t="s">
        <v>113</v>
      </c>
      <c r="O2" s="35" t="s">
        <v>117</v>
      </c>
      <c r="P2" s="35" t="s">
        <v>118</v>
      </c>
      <c r="Q2" s="35" t="s">
        <v>119</v>
      </c>
    </row>
    <row r="3" spans="1:17" ht="159" x14ac:dyDescent="0.35">
      <c r="A3" s="37">
        <v>2</v>
      </c>
      <c r="B3" s="6" t="s">
        <v>121</v>
      </c>
      <c r="C3" s="34" t="s">
        <v>125</v>
      </c>
      <c r="D3" s="6" t="s">
        <v>122</v>
      </c>
      <c r="E3" s="6" t="s">
        <v>123</v>
      </c>
      <c r="F3" s="6" t="s">
        <v>124</v>
      </c>
      <c r="G3" s="43" t="s">
        <v>115</v>
      </c>
      <c r="H3" s="42">
        <v>45954</v>
      </c>
      <c r="I3" s="6" t="s">
        <v>126</v>
      </c>
      <c r="J3" s="6" t="s">
        <v>127</v>
      </c>
      <c r="K3" s="6">
        <v>1</v>
      </c>
      <c r="L3" s="47"/>
      <c r="N3" s="48"/>
      <c r="O3" s="24">
        <v>1</v>
      </c>
      <c r="P3" s="40" t="s">
        <v>114</v>
      </c>
      <c r="Q3" s="6"/>
    </row>
    <row r="4" spans="1:17" ht="57.6" x14ac:dyDescent="0.3">
      <c r="A4" s="37">
        <v>3</v>
      </c>
      <c r="B4" s="6" t="s">
        <v>128</v>
      </c>
      <c r="C4" s="34" t="s">
        <v>125</v>
      </c>
      <c r="D4" s="6" t="s">
        <v>129</v>
      </c>
      <c r="E4" s="6" t="s">
        <v>110</v>
      </c>
      <c r="F4" s="37" t="s">
        <v>136</v>
      </c>
      <c r="G4" s="43" t="s">
        <v>115</v>
      </c>
      <c r="H4" s="42">
        <v>45955</v>
      </c>
      <c r="I4" s="6" t="s">
        <v>130</v>
      </c>
      <c r="J4" s="6" t="s">
        <v>132</v>
      </c>
      <c r="K4" s="6"/>
      <c r="L4" s="47"/>
      <c r="N4" s="48"/>
      <c r="O4" s="41" t="s">
        <v>115</v>
      </c>
      <c r="P4" s="34" t="s">
        <v>116</v>
      </c>
      <c r="Q4" s="6"/>
    </row>
    <row r="5" spans="1:17" ht="30" customHeight="1" x14ac:dyDescent="0.3">
      <c r="A5" s="37">
        <v>4</v>
      </c>
      <c r="B5" s="6" t="s">
        <v>131</v>
      </c>
      <c r="C5" s="34" t="s">
        <v>125</v>
      </c>
      <c r="D5" s="44" t="s">
        <v>134</v>
      </c>
      <c r="E5" s="6" t="s">
        <v>123</v>
      </c>
      <c r="F5" s="44" t="s">
        <v>135</v>
      </c>
      <c r="G5" s="43" t="s">
        <v>115</v>
      </c>
      <c r="H5" s="42">
        <v>45956</v>
      </c>
      <c r="I5" s="6" t="s">
        <v>133</v>
      </c>
      <c r="J5" s="6" t="s">
        <v>132</v>
      </c>
      <c r="K5" s="6"/>
      <c r="L5" s="47"/>
      <c r="N5" s="48"/>
      <c r="O5" s="6"/>
      <c r="P5" s="6"/>
      <c r="Q5" s="6"/>
    </row>
    <row r="6" spans="1:17" ht="72" x14ac:dyDescent="0.3">
      <c r="A6" s="37">
        <v>5</v>
      </c>
      <c r="B6" s="6" t="s">
        <v>137</v>
      </c>
      <c r="C6" s="34" t="s">
        <v>125</v>
      </c>
      <c r="D6" s="6" t="s">
        <v>138</v>
      </c>
      <c r="E6" s="6"/>
      <c r="F6" s="6"/>
      <c r="G6" s="6"/>
      <c r="H6" s="6"/>
      <c r="I6" s="6" t="s">
        <v>140</v>
      </c>
      <c r="J6" s="6"/>
      <c r="K6" s="6"/>
      <c r="L6" s="47"/>
      <c r="N6" s="48"/>
      <c r="O6" s="6"/>
      <c r="P6" s="6"/>
      <c r="Q6" s="6"/>
    </row>
    <row r="7" spans="1:17" ht="72" x14ac:dyDescent="0.3">
      <c r="A7" s="37">
        <v>6</v>
      </c>
      <c r="B7" s="6" t="s">
        <v>141</v>
      </c>
      <c r="C7" s="34" t="s">
        <v>125</v>
      </c>
      <c r="D7" s="6" t="s">
        <v>142</v>
      </c>
      <c r="E7" s="6"/>
      <c r="F7" s="6"/>
      <c r="G7" s="6"/>
      <c r="H7" s="6"/>
      <c r="I7" s="6"/>
      <c r="J7" s="6" t="s">
        <v>143</v>
      </c>
      <c r="K7" s="6"/>
      <c r="L7" s="47"/>
      <c r="N7" s="48"/>
      <c r="O7" s="6"/>
      <c r="P7" s="6"/>
      <c r="Q7" s="6"/>
    </row>
    <row r="8" spans="1:17" ht="28.8" x14ac:dyDescent="0.3">
      <c r="A8" s="37">
        <v>7</v>
      </c>
      <c r="B8" s="6" t="s">
        <v>144</v>
      </c>
      <c r="C8" s="34" t="s">
        <v>125</v>
      </c>
      <c r="D8" s="6" t="s">
        <v>145</v>
      </c>
      <c r="E8" s="6"/>
      <c r="F8" s="6"/>
      <c r="G8" s="6"/>
      <c r="H8" s="6"/>
      <c r="I8" s="6"/>
      <c r="J8" s="6" t="s">
        <v>149</v>
      </c>
      <c r="K8" s="6"/>
      <c r="L8" s="47"/>
      <c r="N8" s="48"/>
      <c r="O8" s="6"/>
      <c r="P8" s="6"/>
      <c r="Q8" s="6"/>
    </row>
    <row r="9" spans="1:17" ht="129.6" x14ac:dyDescent="0.3">
      <c r="A9" s="37">
        <v>8</v>
      </c>
      <c r="B9" s="6" t="s">
        <v>146</v>
      </c>
      <c r="C9" s="34" t="s">
        <v>125</v>
      </c>
      <c r="D9" s="6" t="s">
        <v>147</v>
      </c>
      <c r="E9" s="6"/>
      <c r="F9" s="6"/>
      <c r="G9" s="6"/>
      <c r="H9" s="6"/>
      <c r="I9" s="6"/>
      <c r="J9" s="6" t="s">
        <v>148</v>
      </c>
      <c r="K9" s="6"/>
      <c r="L9" s="47"/>
      <c r="N9" s="48"/>
      <c r="O9" s="6"/>
      <c r="P9" s="6"/>
      <c r="Q9" s="6"/>
    </row>
    <row r="10" spans="1:17" ht="28.8" x14ac:dyDescent="0.3">
      <c r="A10" s="37">
        <v>9</v>
      </c>
      <c r="B10" s="6" t="s">
        <v>150</v>
      </c>
      <c r="C10" s="34" t="s">
        <v>125</v>
      </c>
      <c r="D10" s="6" t="s">
        <v>151</v>
      </c>
      <c r="E10" s="6"/>
      <c r="F10" s="6"/>
      <c r="G10" s="6"/>
      <c r="H10" s="6"/>
      <c r="I10" s="6"/>
      <c r="J10" s="6" t="s">
        <v>143</v>
      </c>
      <c r="K10" s="6"/>
      <c r="L10" s="47"/>
      <c r="N10" s="48"/>
      <c r="O10" s="6"/>
      <c r="P10" s="6"/>
      <c r="Q10" s="6"/>
    </row>
    <row r="11" spans="1:17" ht="57.6" x14ac:dyDescent="0.3">
      <c r="A11" s="37">
        <v>10</v>
      </c>
      <c r="B11" s="6" t="s">
        <v>152</v>
      </c>
      <c r="C11" s="34" t="s">
        <v>125</v>
      </c>
      <c r="D11" s="6" t="s">
        <v>153</v>
      </c>
      <c r="E11" s="6"/>
      <c r="F11" s="6"/>
      <c r="G11" s="6"/>
      <c r="H11" s="6"/>
      <c r="I11" s="6"/>
      <c r="J11" s="6" t="s">
        <v>143</v>
      </c>
      <c r="K11" s="6">
        <v>2</v>
      </c>
      <c r="L11" s="47"/>
      <c r="N11" s="48"/>
      <c r="O11" s="6"/>
      <c r="P11" s="6"/>
      <c r="Q11" s="6"/>
    </row>
    <row r="12" spans="1:17" x14ac:dyDescent="0.3">
      <c r="A12" s="37">
        <v>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47"/>
      <c r="N12" s="48"/>
      <c r="O12" s="6"/>
      <c r="P12" s="6"/>
      <c r="Q12" s="6"/>
    </row>
    <row r="13" spans="1:17" x14ac:dyDescent="0.3">
      <c r="A13" s="37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47"/>
      <c r="N13" s="48"/>
      <c r="O13" s="6"/>
      <c r="P13" s="6"/>
      <c r="Q13" s="6"/>
    </row>
    <row r="14" spans="1:17" x14ac:dyDescent="0.3">
      <c r="A14" s="37">
        <v>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47"/>
      <c r="N14" s="48"/>
      <c r="O14" s="6"/>
      <c r="P14" s="6"/>
      <c r="Q14" s="6"/>
    </row>
    <row r="15" spans="1:17" x14ac:dyDescent="0.3">
      <c r="A15" s="37">
        <v>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47"/>
      <c r="N15" s="48"/>
      <c r="O15" s="6"/>
      <c r="P15" s="6"/>
      <c r="Q15" s="6"/>
    </row>
    <row r="16" spans="1:17" x14ac:dyDescent="0.3">
      <c r="A16" s="37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47"/>
      <c r="N16" s="48"/>
      <c r="O16" s="6"/>
      <c r="P16" s="6"/>
      <c r="Q16" s="6"/>
    </row>
    <row r="17" spans="1:17" x14ac:dyDescent="0.3">
      <c r="A17" s="37">
        <v>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47"/>
      <c r="N17" s="48"/>
      <c r="O17" s="6"/>
      <c r="P17" s="6"/>
      <c r="Q17" s="6"/>
    </row>
    <row r="18" spans="1:17" x14ac:dyDescent="0.3">
      <c r="A18" s="37">
        <v>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47"/>
      <c r="N18" s="48"/>
      <c r="O18" s="6"/>
      <c r="P18" s="6"/>
      <c r="Q18" s="6"/>
    </row>
  </sheetData>
  <hyperlinks>
    <hyperlink ref="D5" r:id="rId1"/>
    <hyperlink ref="F5" r:id="rId2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План задач</vt:lpstr>
      <vt:lpstr>План по задачам№</vt:lpstr>
      <vt:lpstr>Категоризация обращений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RePack by Diakov</cp:lastModifiedBy>
  <dcterms:created xsi:type="dcterms:W3CDTF">2025-10-18T07:28:11Z</dcterms:created>
  <dcterms:modified xsi:type="dcterms:W3CDTF">2026-03-24T09:34:28Z</dcterms:modified>
</cp:coreProperties>
</file>